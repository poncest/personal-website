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fpch\Desktop\CN Files\Tableau\MM\"/>
    </mc:Choice>
  </mc:AlternateContent>
  <xr:revisionPtr revIDLastSave="0" documentId="8_{93A87D32-A531-4E62-A0DE-A1E1D4C18C0C}" xr6:coauthVersionLast="47" xr6:coauthVersionMax="47" xr10:uidLastSave="{00000000-0000-0000-0000-000000000000}"/>
  <bookViews>
    <workbookView xWindow="-110" yWindow="-110" windowWidth="22780" windowHeight="14540" xr2:uid="{8F547DD3-1404-465A-B70A-CA831C8A67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2" i="1"/>
  <c r="M3" i="1"/>
  <c r="M4" i="1"/>
  <c r="M5" i="1"/>
  <c r="M6" i="1"/>
  <c r="M7" i="1"/>
  <c r="M8" i="1"/>
  <c r="M9" i="1"/>
  <c r="M2" i="1"/>
</calcChain>
</file>

<file path=xl/sharedStrings.xml><?xml version="1.0" encoding="utf-8"?>
<sst xmlns="http://schemas.openxmlformats.org/spreadsheetml/2006/main" count="46" uniqueCount="34">
  <si>
    <t>Rank</t>
  </si>
  <si>
    <t>Car</t>
  </si>
  <si>
    <t>Manufacturer</t>
  </si>
  <si>
    <t>Top Speed (mph)</t>
  </si>
  <si>
    <t>Top Speed (km/h)</t>
  </si>
  <si>
    <t>Horsepower (hp)</t>
  </si>
  <si>
    <t>Torque (lb-ft)</t>
  </si>
  <si>
    <t>Price (USD)</t>
  </si>
  <si>
    <t>Units Produced</t>
  </si>
  <si>
    <t>Hennessey Venom F5</t>
  </si>
  <si>
    <t>Hennessey</t>
  </si>
  <si>
    <t>Bugatti Chiron Super Sport 300+</t>
  </si>
  <si>
    <t>Bugatti</t>
  </si>
  <si>
    <t>SSC Tuatara</t>
  </si>
  <si>
    <t>SSC North America</t>
  </si>
  <si>
    <t>Koenigsegg Jesko</t>
  </si>
  <si>
    <t>Koenigsegg</t>
  </si>
  <si>
    <t>Koenigsegg Agera RS</t>
  </si>
  <si>
    <t>Hennessey Venom GT</t>
  </si>
  <si>
    <t>Bugatti Veyron 16.4 Super Sport</t>
  </si>
  <si>
    <t>Country</t>
  </si>
  <si>
    <t>Engine Type</t>
  </si>
  <si>
    <t>Price per HP (USD)</t>
  </si>
  <si>
    <t>Speed per HP (km/h per hp)</t>
  </si>
  <si>
    <t>USA</t>
  </si>
  <si>
    <t>Twin-Turbo V8</t>
  </si>
  <si>
    <t>France</t>
  </si>
  <si>
    <t>Quad-Turbo W16</t>
  </si>
  <si>
    <t>Sweden</t>
  </si>
  <si>
    <t>Croatia</t>
  </si>
  <si>
    <t>Electric (4 motors)</t>
  </si>
  <si>
    <t>Rimac C Two</t>
  </si>
  <si>
    <t>Rimac Automobili</t>
  </si>
  <si>
    <t>0-100 km/h (approximate in sec)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</si>
</sst>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vertical="center" wrapText="1"/>
    </xf>
    <xf numFmtId="2" fontId="0" fillId="0" borderId="0" xfId="0" applyNumberFormat="1"/>
    <xf numFmtId="44" fontId="0" fillId="0" borderId="0" xfId="1" applyFont="1"/>
    <xf numFmtId="0" fontId="2" fillId="0" borderId="0" xfId="0" applyFont="1" applyAlignme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38E08-736A-4A1A-BE68-EA52B3DDC50C}">
  <dimension ref="A1:N9"/>
  <sheetViews>
    <sheetView tabSelected="1" workbookViewId="0">
      <selection activeCell="K9" sqref="K9"/>
    </sheetView>
  </sheetViews>
  <sheetFormatPr defaultRowHeight="14.5" x14ac:dyDescent="0.35"/>
  <cols>
    <col min="1" max="1" width="5.08984375" bestFit="1" customWidth="1"/>
    <col min="2" max="2" width="26.6328125" bestFit="1" customWidth="1"/>
    <col min="3" max="3" width="16.1796875" bestFit="1" customWidth="1"/>
    <col min="4" max="4" width="7.453125" bestFit="1" customWidth="1"/>
    <col min="5" max="5" width="15.81640625" bestFit="1" customWidth="1"/>
    <col min="6" max="6" width="15" style="5" bestFit="1" customWidth="1"/>
    <col min="7" max="7" width="15.6328125" bestFit="1" customWidth="1"/>
    <col min="8" max="8" width="14.6328125" bestFit="1" customWidth="1"/>
    <col min="9" max="9" width="11.7265625" bestFit="1" customWidth="1"/>
    <col min="10" max="10" width="14.90625" bestFit="1" customWidth="1"/>
    <col min="11" max="11" width="10.1796875" bestFit="1" customWidth="1"/>
    <col min="12" max="12" width="13.26953125" bestFit="1" customWidth="1"/>
    <col min="13" max="13" width="16" bestFit="1" customWidth="1"/>
    <col min="14" max="14" width="22.90625" bestFit="1" customWidth="1"/>
  </cols>
  <sheetData>
    <row r="1" spans="1:14" s="7" customFormat="1" x14ac:dyDescent="0.35">
      <c r="A1" s="2" t="s">
        <v>0</v>
      </c>
      <c r="B1" s="2" t="s">
        <v>1</v>
      </c>
      <c r="C1" s="2" t="s">
        <v>2</v>
      </c>
      <c r="D1" s="2" t="s">
        <v>20</v>
      </c>
      <c r="E1" s="2" t="s">
        <v>21</v>
      </c>
      <c r="F1" s="3" t="s">
        <v>3</v>
      </c>
      <c r="G1" s="2" t="s">
        <v>4</v>
      </c>
      <c r="H1" s="2" t="s">
        <v>5</v>
      </c>
      <c r="I1" s="2" t="s">
        <v>6</v>
      </c>
      <c r="J1" s="2" t="s">
        <v>33</v>
      </c>
      <c r="K1" s="7" t="s">
        <v>7</v>
      </c>
      <c r="L1" s="7" t="s">
        <v>8</v>
      </c>
      <c r="M1" s="7" t="s">
        <v>22</v>
      </c>
      <c r="N1" s="7" t="s">
        <v>23</v>
      </c>
    </row>
    <row r="2" spans="1:14" x14ac:dyDescent="0.35">
      <c r="A2" s="1">
        <v>1</v>
      </c>
      <c r="B2" s="1" t="s">
        <v>9</v>
      </c>
      <c r="C2" s="1" t="s">
        <v>10</v>
      </c>
      <c r="D2" s="1" t="s">
        <v>24</v>
      </c>
      <c r="E2" s="1" t="s">
        <v>25</v>
      </c>
      <c r="F2" s="4">
        <v>310.7</v>
      </c>
      <c r="G2" s="1">
        <v>500</v>
      </c>
      <c r="H2" s="1">
        <v>1817</v>
      </c>
      <c r="I2" s="1">
        <v>1193</v>
      </c>
      <c r="J2" s="1">
        <v>2.6</v>
      </c>
      <c r="K2">
        <v>1800000</v>
      </c>
      <c r="L2">
        <v>24</v>
      </c>
      <c r="M2" s="6">
        <f>K2/H2</f>
        <v>990.64391854705559</v>
      </c>
      <c r="N2" s="5">
        <f>G2/H2</f>
        <v>0.27517886626307098</v>
      </c>
    </row>
    <row r="3" spans="1:14" x14ac:dyDescent="0.35">
      <c r="A3" s="1">
        <v>2</v>
      </c>
      <c r="B3" s="1" t="s">
        <v>11</v>
      </c>
      <c r="C3" s="1" t="s">
        <v>12</v>
      </c>
      <c r="D3" s="1" t="s">
        <v>26</v>
      </c>
      <c r="E3" s="1" t="s">
        <v>27</v>
      </c>
      <c r="F3" s="4">
        <v>304.77</v>
      </c>
      <c r="G3" s="1">
        <v>490.48</v>
      </c>
      <c r="H3" s="1">
        <v>1578</v>
      </c>
      <c r="I3" s="1">
        <v>1180</v>
      </c>
      <c r="J3" s="1">
        <v>2.4</v>
      </c>
      <c r="K3">
        <v>3900000</v>
      </c>
      <c r="L3">
        <v>30</v>
      </c>
      <c r="M3" s="6">
        <f t="shared" ref="M3:M9" si="0">K3/H3</f>
        <v>2471.4828897338402</v>
      </c>
      <c r="N3" s="5">
        <f t="shared" ref="N3:N9" si="1">G3/H3</f>
        <v>0.31082382762991129</v>
      </c>
    </row>
    <row r="4" spans="1:14" x14ac:dyDescent="0.35">
      <c r="A4" s="1">
        <v>3</v>
      </c>
      <c r="B4" s="1" t="s">
        <v>13</v>
      </c>
      <c r="C4" s="1" t="s">
        <v>14</v>
      </c>
      <c r="D4" s="1" t="s">
        <v>24</v>
      </c>
      <c r="E4" s="1" t="s">
        <v>25</v>
      </c>
      <c r="F4" s="4">
        <v>300</v>
      </c>
      <c r="G4" s="1">
        <v>482.8</v>
      </c>
      <c r="H4" s="1">
        <v>1750</v>
      </c>
      <c r="I4" s="1">
        <v>1322</v>
      </c>
      <c r="J4" s="1">
        <v>2.7</v>
      </c>
      <c r="K4">
        <v>1700000</v>
      </c>
      <c r="L4">
        <v>100</v>
      </c>
      <c r="M4" s="6">
        <f t="shared" si="0"/>
        <v>971.42857142857144</v>
      </c>
      <c r="N4" s="5">
        <f t="shared" si="1"/>
        <v>0.27588571428571429</v>
      </c>
    </row>
    <row r="5" spans="1:14" x14ac:dyDescent="0.35">
      <c r="A5" s="1">
        <v>4</v>
      </c>
      <c r="B5" s="1" t="s">
        <v>15</v>
      </c>
      <c r="C5" s="1" t="s">
        <v>16</v>
      </c>
      <c r="D5" s="1" t="s">
        <v>28</v>
      </c>
      <c r="E5" s="1" t="s">
        <v>25</v>
      </c>
      <c r="F5" s="4">
        <v>300</v>
      </c>
      <c r="G5" s="1">
        <v>482.8</v>
      </c>
      <c r="H5" s="1">
        <v>1600</v>
      </c>
      <c r="I5" s="1">
        <v>1106</v>
      </c>
      <c r="J5" s="1">
        <v>2.8</v>
      </c>
      <c r="K5">
        <v>2800000</v>
      </c>
      <c r="L5">
        <v>125</v>
      </c>
      <c r="M5" s="6">
        <f t="shared" si="0"/>
        <v>1750</v>
      </c>
      <c r="N5" s="5">
        <f t="shared" si="1"/>
        <v>0.30175000000000002</v>
      </c>
    </row>
    <row r="6" spans="1:14" x14ac:dyDescent="0.35">
      <c r="A6" s="1">
        <v>5</v>
      </c>
      <c r="B6" s="1" t="s">
        <v>17</v>
      </c>
      <c r="C6" s="1" t="s">
        <v>16</v>
      </c>
      <c r="D6" s="1" t="s">
        <v>28</v>
      </c>
      <c r="E6" s="1" t="s">
        <v>25</v>
      </c>
      <c r="F6" s="4">
        <v>278</v>
      </c>
      <c r="G6" s="1">
        <v>447.39</v>
      </c>
      <c r="H6" s="1">
        <v>1360</v>
      </c>
      <c r="I6" s="1">
        <v>1011</v>
      </c>
      <c r="J6" s="1">
        <v>2.8</v>
      </c>
      <c r="K6">
        <v>2100000</v>
      </c>
      <c r="L6">
        <v>25</v>
      </c>
      <c r="M6" s="6">
        <f t="shared" si="0"/>
        <v>1544.1176470588234</v>
      </c>
      <c r="N6" s="5">
        <f t="shared" si="1"/>
        <v>0.32896323529411764</v>
      </c>
    </row>
    <row r="7" spans="1:14" x14ac:dyDescent="0.35">
      <c r="A7" s="1">
        <v>6</v>
      </c>
      <c r="B7" s="1" t="s">
        <v>18</v>
      </c>
      <c r="C7" s="1" t="s">
        <v>10</v>
      </c>
      <c r="D7" s="1" t="s">
        <v>24</v>
      </c>
      <c r="E7" s="1" t="s">
        <v>25</v>
      </c>
      <c r="F7" s="4">
        <v>270.49</v>
      </c>
      <c r="G7" s="1">
        <v>435.31</v>
      </c>
      <c r="H7" s="1">
        <v>1244</v>
      </c>
      <c r="I7" s="1">
        <v>1155</v>
      </c>
      <c r="J7" s="1">
        <v>2.7</v>
      </c>
      <c r="K7">
        <v>1250000</v>
      </c>
      <c r="L7">
        <v>13</v>
      </c>
      <c r="M7" s="6">
        <f t="shared" si="0"/>
        <v>1004.823151125402</v>
      </c>
      <c r="N7" s="5">
        <f t="shared" si="1"/>
        <v>0.34992765273311899</v>
      </c>
    </row>
    <row r="8" spans="1:14" x14ac:dyDescent="0.35">
      <c r="A8" s="1">
        <v>7</v>
      </c>
      <c r="B8" s="1" t="s">
        <v>19</v>
      </c>
      <c r="C8" s="1" t="s">
        <v>12</v>
      </c>
      <c r="D8" s="1" t="s">
        <v>26</v>
      </c>
      <c r="E8" s="1" t="s">
        <v>27</v>
      </c>
      <c r="F8" s="4">
        <v>267.85000000000002</v>
      </c>
      <c r="G8" s="1">
        <v>431.07</v>
      </c>
      <c r="H8" s="1">
        <v>1200</v>
      </c>
      <c r="I8" s="1">
        <v>1106</v>
      </c>
      <c r="J8" s="1">
        <v>2.5</v>
      </c>
      <c r="K8">
        <v>2000000</v>
      </c>
      <c r="L8">
        <v>30</v>
      </c>
      <c r="M8" s="6">
        <f t="shared" si="0"/>
        <v>1666.6666666666667</v>
      </c>
      <c r="N8" s="5">
        <f t="shared" si="1"/>
        <v>0.35922500000000002</v>
      </c>
    </row>
    <row r="9" spans="1:14" x14ac:dyDescent="0.35">
      <c r="A9" s="1">
        <v>8</v>
      </c>
      <c r="B9" s="1" t="s">
        <v>31</v>
      </c>
      <c r="C9" s="1" t="s">
        <v>32</v>
      </c>
      <c r="D9" s="1" t="s">
        <v>29</v>
      </c>
      <c r="E9" s="1" t="s">
        <v>30</v>
      </c>
      <c r="F9" s="4">
        <v>258</v>
      </c>
      <c r="G9" s="1">
        <v>415</v>
      </c>
      <c r="H9" s="1">
        <v>1914</v>
      </c>
      <c r="I9" s="1">
        <v>1696</v>
      </c>
      <c r="J9" s="1">
        <v>1.97</v>
      </c>
      <c r="K9">
        <v>2100000</v>
      </c>
      <c r="L9">
        <v>150</v>
      </c>
      <c r="M9" s="6">
        <f t="shared" si="0"/>
        <v>1097.1786833855799</v>
      </c>
      <c r="N9" s="5">
        <f t="shared" si="1"/>
        <v>0.2168234064785789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Chimdi N</dc:creator>
  <cp:lastModifiedBy>Chimdi N</cp:lastModifiedBy>
  <dcterms:created xsi:type="dcterms:W3CDTF">2026-03-16T02:09:01Z</dcterms:created>
  <dcterms:modified xsi:type="dcterms:W3CDTF">2026-03-16T02:48:04Z</dcterms:modified>
</cp:coreProperties>
</file>